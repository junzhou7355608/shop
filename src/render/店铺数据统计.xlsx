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明细" sheetId="1" r:id="rId1"/>
    <sheet name="采购明细" sheetId="2" r:id="rId2"/>
    <sheet name="月度利润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日期</v>
      </c>
      <c r="B1" t="str">
        <v>商品名称</v>
      </c>
      <c r="C1" t="str">
        <v>销量</v>
      </c>
      <c r="D1" t="str">
        <v>售价</v>
      </c>
      <c r="E1" t="str">
        <v>销售额</v>
      </c>
      <c r="F1" t="str">
        <v>材料成本</v>
      </c>
      <c r="G1" t="str">
        <v>毛利</v>
      </c>
      <c r="H1" t="str">
        <v>毛利率%</v>
      </c>
    </row>
    <row r="2">
      <c r="A2" t="str">
        <v>2026-01-29</v>
      </c>
      <c r="B2" t="str">
        <v>草莓蛋糕</v>
      </c>
      <c r="C2">
        <v>12</v>
      </c>
      <c r="D2">
        <v>40</v>
      </c>
      <c r="E2" s="1">
        <f>=C2*D2</f>
      </c>
      <c r="F2" s="1">
        <f>=SUMIF(采购明细!A2, A2, 采购明细!$F$2:$F$3)</f>
      </c>
      <c r="G2" s="1">
        <f>=E2-F2</f>
      </c>
      <c r="H2" s="2">
        <f>=G2/E2</f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日期</v>
      </c>
      <c r="B1" t="str">
        <v>品名</v>
      </c>
      <c r="C1" t="str">
        <v>数量</v>
      </c>
      <c r="D1" t="str">
        <v>单位</v>
      </c>
      <c r="E1" t="str">
        <v>单价</v>
      </c>
      <c r="F1" t="str">
        <v>金额</v>
      </c>
    </row>
    <row r="2">
      <c r="A2" t="str">
        <v>2026-01-29</v>
      </c>
      <c r="B2" t="str">
        <v>鸡蛋</v>
      </c>
      <c r="C2">
        <v>1</v>
      </c>
      <c r="D2" t="str">
        <v>件</v>
      </c>
      <c r="E2">
        <v>200</v>
      </c>
      <c r="F2" s="1">
        <f>=C2*E2</f>
      </c>
    </row>
    <row r="3">
      <c r="A3" t="str">
        <v>2026-01-29</v>
      </c>
      <c r="B3" t="str">
        <v>奶油</v>
      </c>
      <c r="C3">
        <v>1</v>
      </c>
      <c r="D3" t="str">
        <v>件</v>
      </c>
      <c r="E3">
        <v>600</v>
      </c>
      <c r="F3" s="1">
        <f>=C3*E3</f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月份</v>
      </c>
      <c r="B1" t="str">
        <v>销售收入</v>
      </c>
      <c r="C1" t="str">
        <v>销售成本</v>
      </c>
      <c r="D1" t="str">
        <v>毛利</v>
      </c>
      <c r="E1" t="str">
        <v>毛利率%</v>
      </c>
      <c r="F1" t="str">
        <v>租金</v>
      </c>
      <c r="G1" t="str">
        <v>水电</v>
      </c>
      <c r="H1" t="str">
        <v>人工</v>
      </c>
      <c r="I1" t="str">
        <v>推广</v>
      </c>
      <c r="J1" t="str">
        <v>其他费用</v>
      </c>
      <c r="K1" t="str">
        <v>总费用</v>
      </c>
      <c r="L1" t="str">
        <v>净利润</v>
      </c>
      <c r="M1" t="str">
        <v>利润率%</v>
      </c>
    </row>
    <row r="2">
      <c r="A2" t="str">
        <v>2026-01</v>
      </c>
      <c r="B2">
        <v>57247</v>
      </c>
      <c r="C2">
        <v>32205</v>
      </c>
      <c r="D2" s="1">
        <f>=B2-C2</f>
      </c>
      <c r="E2" s="2">
        <f>=D2/B2</f>
      </c>
      <c r="F2">
        <v>2400</v>
      </c>
      <c r="G2">
        <v>500</v>
      </c>
      <c r="H2">
        <v>2400</v>
      </c>
      <c r="I2">
        <v>600</v>
      </c>
      <c r="J2">
        <v>100</v>
      </c>
      <c r="K2" s="1">
        <f>=F2+G2+H2+I2+J2</f>
      </c>
      <c r="L2" s="1">
        <f>=D2-K2</f>
      </c>
      <c r="M2" s="2">
        <f>=L2/B2</f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销售明细</vt:lpstr>
      <vt:lpstr>采购明细</vt:lpstr>
      <vt:lpstr>月度利润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