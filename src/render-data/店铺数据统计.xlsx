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yyyy-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60" fontId="0" fillId="0" borderId="0" xfId="0" applyNumberFormat="1"/>
    <xf numFmtId="2" fontId="0" fillId="0" borderId="0" xfId="0" applyNumberFormat="1"/>
    <xf numFmtId="1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  <c r="F1" t="str">
        <v>材料成本</v>
      </c>
      <c r="G1" t="str">
        <v>毛利</v>
      </c>
      <c r="H1" t="str">
        <v>毛利率%</v>
      </c>
    </row>
    <row r="2">
      <c r="A2" s="1">
        <v>46051.000497685185</v>
      </c>
      <c r="B2" t="str">
        <v>草莓蛋糕</v>
      </c>
      <c r="C2">
        <v>12</v>
      </c>
      <c r="D2">
        <v>40</v>
      </c>
      <c r="E2" s="2">
        <f>C2*D2</f>
        <v>0</v>
      </c>
      <c r="F2" s="2">
        <f>INDEX(月度利润!$C$2:$C$2, MATCH(TEXT(A2,"YYYY-MM"), 月度利润!$A$2:$A$2, 0))</f>
        <v>0</v>
      </c>
      <c r="G2" s="2">
        <f>E2-F2</f>
        <v>0</v>
      </c>
      <c r="H2" s="3">
        <f>G2/E2</f>
        <v>0</v>
      </c>
    </row>
    <row r="3">
      <c r="A3" s="1">
        <v>46051.000497685185</v>
      </c>
      <c r="B3" t="str">
        <v>蓝莓蛋糕</v>
      </c>
      <c r="C3">
        <v>8</v>
      </c>
      <c r="D3">
        <v>40</v>
      </c>
      <c r="E3" s="2">
        <f>C3*D3</f>
        <v>0</v>
      </c>
      <c r="F3" s="2">
        <f>INDEX(月度利润!$C$2:$C$2, MATCH(TEXT(A3,"YYYY-MM"), 月度利润!$A$2:$A$2, 0))</f>
        <v>0</v>
      </c>
      <c r="G3" s="2">
        <f>E3-F3</f>
        <v>0</v>
      </c>
      <c r="H3" s="3">
        <f>G3/E3</f>
        <v>0</v>
      </c>
    </row>
    <row r="4">
      <c r="A4" s="1">
        <v>46049.000497685185</v>
      </c>
      <c r="B4" t="str">
        <v>芭乐蛋糕</v>
      </c>
      <c r="C4">
        <v>10</v>
      </c>
      <c r="D4">
        <v>46</v>
      </c>
      <c r="E4" s="2">
        <f>C4*D4</f>
        <v>0</v>
      </c>
      <c r="F4" s="2">
        <f>INDEX(月度利润!$C$2:$C$2, MATCH(TEXT(A4,"YYYY-MM"), 月度利润!$A$2:$A$2, 0))</f>
        <v>0</v>
      </c>
      <c r="G4" s="2">
        <f>E4-F4</f>
        <v>0</v>
      </c>
      <c r="H4" s="3">
        <f>G4/E4</f>
        <v>0</v>
      </c>
    </row>
  </sheetData>
  <ignoredErrors>
    <ignoredError numberStoredAsText="1" sqref="A1:H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s="1">
        <v>46051.000497685185</v>
      </c>
      <c r="B2" t="str">
        <v>鸡蛋</v>
      </c>
      <c r="C2">
        <v>1</v>
      </c>
      <c r="D2" t="str">
        <v>件</v>
      </c>
      <c r="E2">
        <v>200</v>
      </c>
      <c r="F2" s="2">
        <f>C2*E2</f>
        <v>0</v>
      </c>
    </row>
    <row r="3">
      <c r="A3" s="1">
        <v>46051.000497685185</v>
      </c>
      <c r="B3" t="str">
        <v>奶油</v>
      </c>
      <c r="C3">
        <v>1</v>
      </c>
      <c r="D3" t="str">
        <v>件</v>
      </c>
      <c r="E3">
        <v>600</v>
      </c>
      <c r="F3" s="2">
        <f>C3*E3</f>
        <v>0</v>
      </c>
    </row>
    <row r="4">
      <c r="A4" s="1">
        <v>46051.000497685185</v>
      </c>
      <c r="B4" t="str">
        <v>蛋糕盒</v>
      </c>
      <c r="C4">
        <v>5</v>
      </c>
      <c r="D4" t="str">
        <v>箱</v>
      </c>
      <c r="E4">
        <v>50</v>
      </c>
      <c r="F4" s="2">
        <f>C4*E4</f>
        <v>0</v>
      </c>
    </row>
    <row r="5">
      <c r="A5" s="1">
        <v>46048.000497685185</v>
      </c>
      <c r="B5" t="str">
        <v>蛋糕盒</v>
      </c>
      <c r="C5">
        <v>5</v>
      </c>
      <c r="D5" t="str">
        <v>箱</v>
      </c>
      <c r="E5">
        <v>50</v>
      </c>
      <c r="F5" s="2">
        <f>C5*E5</f>
        <v>0</v>
      </c>
    </row>
    <row r="6">
      <c r="A6" s="1">
        <v>46049.000497685185</v>
      </c>
      <c r="B6" t="str">
        <v>叉子</v>
      </c>
      <c r="C6">
        <v>5</v>
      </c>
      <c r="D6" t="str">
        <v>箱</v>
      </c>
      <c r="E6">
        <v>10</v>
      </c>
      <c r="F6" s="2">
        <f>C6*E6</f>
        <v>0</v>
      </c>
    </row>
  </sheetData>
  <ignoredErrors>
    <ignoredError numberStoredAsText="1" sqref="A1:F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s="4">
        <v>46023.000497685185</v>
      </c>
      <c r="B2" s="2">
        <f>SUMPRODUCT((TEXT(销售明细!$A$2:$A$3,"YYYY-MM")=A2)*销售明细!$E$2:$E$3)</f>
        <v>0</v>
      </c>
      <c r="C2" s="2">
        <f>SUMPRODUCT((TEXT(采购明细!$A$2:$A$4,"YYYY-MM")=A2)*采购明细!$F$2:$F$4)</f>
        <v>0</v>
      </c>
      <c r="D2" s="2">
        <f>B2-C2</f>
        <v>0</v>
      </c>
      <c r="E2" s="3">
        <f>D2/B2</f>
        <v>0</v>
      </c>
      <c r="F2">
        <v>2500</v>
      </c>
      <c r="G2">
        <v>500</v>
      </c>
      <c r="H2">
        <v>10000</v>
      </c>
      <c r="I2">
        <v>0</v>
      </c>
      <c r="J2">
        <v>0</v>
      </c>
      <c r="K2" s="2">
        <f>F2+G2+H2+I2+J2</f>
        <v>0</v>
      </c>
      <c r="L2" s="2">
        <f>D2-K2</f>
        <v>0</v>
      </c>
      <c r="M2" s="3">
        <f>L2/B2</f>
        <v>0</v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