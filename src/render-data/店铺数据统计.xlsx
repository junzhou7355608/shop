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/Documents/shop/src/render-data/"/>
    </mc:Choice>
  </mc:AlternateContent>
  <xr:revisionPtr revIDLastSave="0" documentId="13_ncr:1_{899005D9-60CF-3F4E-8608-FA8DDD9E401D}" xr6:coauthVersionLast="47" xr6:coauthVersionMax="47" xr10:uidLastSave="{00000000-0000-0000-0000-000000000000}"/>
  <bookViews>
    <workbookView xWindow="4340" yWindow="760" windowWidth="30220" windowHeight="20080" activeTab="2" xr2:uid="{00000000-000D-0000-FFFF-FFFF00000000}"/>
  </bookViews>
  <sheets>
    <sheet name="销售明细" sheetId="1" r:id="rId1"/>
    <sheet name="采购明细" sheetId="2" r:id="rId2"/>
    <sheet name="月度利润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3" i="1"/>
  <c r="E3" i="1"/>
  <c r="G3" i="1" s="1"/>
  <c r="H3" i="1" s="1"/>
  <c r="K2" i="3"/>
  <c r="C2" i="3"/>
  <c r="B2" i="3"/>
  <c r="D2" i="3" s="1"/>
  <c r="F3" i="2"/>
  <c r="F2" i="2"/>
  <c r="F2" i="1"/>
  <c r="G2" i="1" s="1"/>
  <c r="H2" i="1" s="1"/>
  <c r="E2" i="1"/>
  <c r="L2" i="3" l="1"/>
  <c r="M2" i="3" s="1"/>
  <c r="E2" i="3"/>
</calcChain>
</file>

<file path=xl/sharedStrings.xml><?xml version="1.0" encoding="utf-8"?>
<sst xmlns="http://schemas.openxmlformats.org/spreadsheetml/2006/main" count="41" uniqueCount="33">
  <si>
    <t>日期</t>
  </si>
  <si>
    <t>商品名称</t>
  </si>
  <si>
    <t>销量</t>
  </si>
  <si>
    <t>售价</t>
  </si>
  <si>
    <t>销售额</t>
  </si>
  <si>
    <t>材料成本</t>
  </si>
  <si>
    <t>毛利</t>
  </si>
  <si>
    <t>毛利率%</t>
  </si>
  <si>
    <t>2026-01-29</t>
  </si>
  <si>
    <t>草莓蛋糕</t>
  </si>
  <si>
    <t>品名</t>
  </si>
  <si>
    <t>数量</t>
  </si>
  <si>
    <t>单位</t>
  </si>
  <si>
    <t>单价</t>
  </si>
  <si>
    <t>金额</t>
  </si>
  <si>
    <t>鸡蛋</t>
  </si>
  <si>
    <t>件</t>
  </si>
  <si>
    <t>奶油</t>
  </si>
  <si>
    <t>月份</t>
  </si>
  <si>
    <t>销售收入</t>
  </si>
  <si>
    <t>销售成本</t>
  </si>
  <si>
    <t>租金</t>
  </si>
  <si>
    <t>水电</t>
  </si>
  <si>
    <t>人工</t>
  </si>
  <si>
    <t>推广</t>
  </si>
  <si>
    <t>其他费用</t>
  </si>
  <si>
    <t>总费用</t>
  </si>
  <si>
    <t>净利润</t>
  </si>
  <si>
    <t>利润率%</t>
  </si>
  <si>
    <t>2026-01</t>
  </si>
  <si>
    <t>蓝莓蛋糕</t>
    <phoneticPr fontId="1" type="noConversion"/>
  </si>
  <si>
    <t>蛋糕盒</t>
    <phoneticPr fontId="1" type="noConversion"/>
  </si>
  <si>
    <t>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</si>
</sst>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G6" sqref="G6"/>
    </sheetView>
  </sheetViews>
  <sheetFormatPr baseColWidth="10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</v>
      </c>
      <c r="D2">
        <v>40</v>
      </c>
      <c r="E2" s="1">
        <f>C2*D2</f>
        <v>480</v>
      </c>
      <c r="F2" s="1">
        <f>INDEX(月度利润!$C$2:$C$2, MATCH(TEXT(A2,"YYYY-MM"), 月度利润!$A$2:$A$2, 0))</f>
        <v>800</v>
      </c>
      <c r="G2" s="1">
        <f>E2-F2</f>
        <v>-320</v>
      </c>
      <c r="H2" s="2">
        <f>G2/E2</f>
        <v>-0.66666666666666663</v>
      </c>
    </row>
    <row r="3" spans="1:8">
      <c r="A3" t="s">
        <v>8</v>
      </c>
      <c r="B3" t="s">
        <v>30</v>
      </c>
      <c r="C3">
        <v>8</v>
      </c>
      <c r="D3">
        <v>40</v>
      </c>
      <c r="E3" s="1">
        <f>C3*D3</f>
        <v>320</v>
      </c>
      <c r="F3" s="1">
        <f>INDEX(月度利润!$C$2:$C$2, MATCH(TEXT(A3,"YYYY-MM"), 月度利润!$A$2:$A$2, 0))</f>
        <v>800</v>
      </c>
      <c r="G3" s="1">
        <f>E3-F3</f>
        <v>-480</v>
      </c>
      <c r="H3" s="2">
        <f>G3/E3</f>
        <v>-1.5</v>
      </c>
    </row>
  </sheetData>
  <phoneticPr fontId="1" type="noConversion"/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D6" sqref="D6"/>
    </sheetView>
  </sheetViews>
  <sheetFormatPr baseColWidth="10" defaultRowHeight="15"/>
  <sheetData>
    <row r="1" spans="1:6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8</v>
      </c>
      <c r="B2" t="s">
        <v>15</v>
      </c>
      <c r="C2">
        <v>1</v>
      </c>
      <c r="D2" t="s">
        <v>16</v>
      </c>
      <c r="E2">
        <v>200</v>
      </c>
      <c r="F2" s="1">
        <f>C2*E2</f>
        <v>200</v>
      </c>
    </row>
    <row r="3" spans="1:6">
      <c r="A3" t="s">
        <v>8</v>
      </c>
      <c r="B3" t="s">
        <v>17</v>
      </c>
      <c r="C3">
        <v>1</v>
      </c>
      <c r="D3" t="s">
        <v>16</v>
      </c>
      <c r="E3">
        <v>600</v>
      </c>
      <c r="F3" s="1">
        <f>C3*E3</f>
        <v>600</v>
      </c>
    </row>
    <row r="4" spans="1:6">
      <c r="A4" t="s">
        <v>8</v>
      </c>
      <c r="B4" t="s">
        <v>31</v>
      </c>
      <c r="C4">
        <v>5</v>
      </c>
      <c r="D4" t="s">
        <v>32</v>
      </c>
      <c r="E4">
        <v>50</v>
      </c>
      <c r="F4" s="1">
        <f>C4*E4</f>
        <v>250</v>
      </c>
    </row>
  </sheetData>
  <phoneticPr fontId="1" type="noConversion"/>
  <pageMargins left="0.7" right="0.7" top="0.75" bottom="0.75" header="0.3" footer="0.3"/>
  <ignoredErrors>
    <ignoredError sqref="A1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workbookViewId="0">
      <selection activeCell="I11" sqref="I11"/>
    </sheetView>
  </sheetViews>
  <sheetFormatPr baseColWidth="10" defaultRowHeight="15"/>
  <sheetData>
    <row r="1" spans="1:13">
      <c r="A1" t="s">
        <v>18</v>
      </c>
      <c r="B1" t="s">
        <v>19</v>
      </c>
      <c r="C1" t="s">
        <v>20</v>
      </c>
      <c r="D1" t="s">
        <v>6</v>
      </c>
      <c r="E1" t="s">
        <v>7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 s="1">
        <f>SUMPRODUCT((TEXT(销售明细!$A$2:$A$2,"YYYY-MM")=A2)*销售明细!$E$2:$E$2)</f>
        <v>480</v>
      </c>
      <c r="C2" s="1">
        <f>SUMPRODUCT((TEXT(采购明细!$A$2:$A$3,"YYYY-MM")=A2)*采购明细!$F$2:$F$3)</f>
        <v>800</v>
      </c>
      <c r="D2" s="1">
        <f>B2-C2</f>
        <v>-320</v>
      </c>
      <c r="E2" s="2">
        <f>D2/B2</f>
        <v>-0.66666666666666663</v>
      </c>
      <c r="F2">
        <v>2500</v>
      </c>
      <c r="G2">
        <v>500</v>
      </c>
      <c r="H2">
        <v>10000</v>
      </c>
      <c r="I2">
        <v>0</v>
      </c>
      <c r="J2">
        <v>0</v>
      </c>
      <c r="K2" s="1">
        <f>F2+G2+H2+I2+J2</f>
        <v>13000</v>
      </c>
      <c r="L2" s="1">
        <f>D2-K2</f>
        <v>-13320</v>
      </c>
      <c r="M2" s="2">
        <f>L2/B2</f>
        <v>-27.75</v>
      </c>
    </row>
  </sheetData>
  <phoneticPr fontId="1" type="noConversion"/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Z11109</cp:lastModifiedBy>
  <dcterms:modified xsi:type="dcterms:W3CDTF">2026-01-30T11:33:04Z</dcterms:modified>
</cp:coreProperties>
</file>