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un/Documents/store-sheet/src/render-data/"/>
    </mc:Choice>
  </mc:AlternateContent>
  <xr:revisionPtr revIDLastSave="0" documentId="13_ncr:1_{4B507071-B51E-8C44-9CAF-9310B77DB57E}" xr6:coauthVersionLast="47" xr6:coauthVersionMax="47" xr10:uidLastSave="{00000000-0000-0000-0000-000000000000}"/>
  <bookViews>
    <workbookView xWindow="0" yWindow="760" windowWidth="34560" windowHeight="20080" xr2:uid="{00000000-000D-0000-FFFF-FFFF00000000}"/>
  </bookViews>
  <sheets>
    <sheet name="销售明细" sheetId="1" r:id="rId1"/>
    <sheet name="采购明细" sheetId="2" r:id="rId2"/>
    <sheet name="月度利润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E5" i="1"/>
  <c r="K2" i="3"/>
  <c r="C2" i="3"/>
  <c r="B2" i="3"/>
  <c r="F6" i="2"/>
  <c r="F5" i="2"/>
  <c r="F4" i="2"/>
  <c r="F3" i="2"/>
  <c r="F2" i="2"/>
  <c r="E4" i="1"/>
  <c r="E3" i="1"/>
  <c r="E2" i="1"/>
  <c r="D2" i="3" l="1"/>
  <c r="L2" i="3"/>
  <c r="M2" i="3" s="1"/>
  <c r="E2" i="3"/>
</calcChain>
</file>

<file path=xl/sharedStrings.xml><?xml version="1.0" encoding="utf-8"?>
<sst xmlns="http://schemas.openxmlformats.org/spreadsheetml/2006/main" count="51" uniqueCount="37">
  <si>
    <t>日期</t>
  </si>
  <si>
    <t>商品名称</t>
  </si>
  <si>
    <t>销量</t>
  </si>
  <si>
    <t>售价</t>
  </si>
  <si>
    <t>销售额</t>
  </si>
  <si>
    <t>2026-01-29</t>
  </si>
  <si>
    <t>草莓蛋糕</t>
  </si>
  <si>
    <t>2026-01-28</t>
  </si>
  <si>
    <t>蓝莓蛋糕</t>
  </si>
  <si>
    <t>2026-01-25</t>
  </si>
  <si>
    <t>芭乐蛋糕</t>
  </si>
  <si>
    <t>品名</t>
  </si>
  <si>
    <t>数量</t>
  </si>
  <si>
    <t>单位</t>
  </si>
  <si>
    <t>单价</t>
  </si>
  <si>
    <t>金额</t>
  </si>
  <si>
    <t>鸡蛋</t>
  </si>
  <si>
    <t>件</t>
  </si>
  <si>
    <t>奶油</t>
  </si>
  <si>
    <t>蛋糕盒</t>
  </si>
  <si>
    <t>箱</t>
  </si>
  <si>
    <t>叉子</t>
  </si>
  <si>
    <t>月份</t>
  </si>
  <si>
    <t>销售收入</t>
  </si>
  <si>
    <t>销售成本</t>
  </si>
  <si>
    <t>毛利</t>
  </si>
  <si>
    <t>毛利率%</t>
  </si>
  <si>
    <t>租金</t>
  </si>
  <si>
    <t>水电</t>
  </si>
  <si>
    <t>人工</t>
  </si>
  <si>
    <t>推广</t>
  </si>
  <si>
    <t>其他费用</t>
  </si>
  <si>
    <t>总费用</t>
  </si>
  <si>
    <t>净利润</t>
  </si>
  <si>
    <t>利润率%</t>
  </si>
  <si>
    <t>2026-01</t>
  </si>
  <si>
    <t>荔枝蛋糕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</si>
</sst>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" fontId="0" fillId="0" borderId="0" xfId="0" applyNumberFormat="1"/>
    <xf numFmtId="1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D16" sqref="D16"/>
    </sheetView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s="1" t="s">
        <v>5</v>
      </c>
      <c r="B2" t="s">
        <v>6</v>
      </c>
      <c r="C2">
        <v>12</v>
      </c>
      <c r="D2">
        <v>40</v>
      </c>
      <c r="E2" s="2">
        <f>C2*D2</f>
        <v>480</v>
      </c>
    </row>
    <row r="3" spans="1:5">
      <c r="A3" s="1" t="s">
        <v>7</v>
      </c>
      <c r="B3" t="s">
        <v>8</v>
      </c>
      <c r="C3">
        <v>8</v>
      </c>
      <c r="D3">
        <v>40</v>
      </c>
      <c r="E3" s="2">
        <f>C3*D3</f>
        <v>320</v>
      </c>
    </row>
    <row r="4" spans="1:5">
      <c r="A4" s="1" t="s">
        <v>9</v>
      </c>
      <c r="B4" t="s">
        <v>10</v>
      </c>
      <c r="C4">
        <v>10</v>
      </c>
      <c r="D4">
        <v>46</v>
      </c>
      <c r="E4" s="2">
        <f>C4*D4</f>
        <v>460</v>
      </c>
    </row>
    <row r="5" spans="1:5">
      <c r="A5" s="1" t="s">
        <v>9</v>
      </c>
      <c r="B5" t="s">
        <v>36</v>
      </c>
      <c r="C5">
        <v>10</v>
      </c>
      <c r="D5">
        <v>46</v>
      </c>
      <c r="E5" s="2">
        <f>C5*D5</f>
        <v>460</v>
      </c>
    </row>
  </sheetData>
  <phoneticPr fontId="1" type="noConversion"/>
  <pageMargins left="0.7" right="0.7" top="0.75" bottom="0.75" header="0.3" footer="0.3"/>
  <ignoredErrors>
    <ignoredError sqref="A1:E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B9" sqref="B9"/>
    </sheetView>
  </sheetViews>
  <sheetFormatPr baseColWidth="10" defaultRowHeight="15"/>
  <sheetData>
    <row r="1" spans="1:6">
      <c r="A1" t="s">
        <v>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</row>
    <row r="2" spans="1:6">
      <c r="A2" s="1" t="s">
        <v>5</v>
      </c>
      <c r="B2" t="s">
        <v>16</v>
      </c>
      <c r="C2">
        <v>1</v>
      </c>
      <c r="D2" t="s">
        <v>17</v>
      </c>
      <c r="E2">
        <v>200</v>
      </c>
      <c r="F2" s="2">
        <f>C2*E2</f>
        <v>200</v>
      </c>
    </row>
    <row r="3" spans="1:6">
      <c r="A3" s="1" t="s">
        <v>7</v>
      </c>
      <c r="B3" t="s">
        <v>18</v>
      </c>
      <c r="C3">
        <v>1</v>
      </c>
      <c r="D3" t="s">
        <v>17</v>
      </c>
      <c r="E3">
        <v>600</v>
      </c>
      <c r="F3" s="2">
        <f>C3*E3</f>
        <v>600</v>
      </c>
    </row>
    <row r="4" spans="1:6">
      <c r="A4" s="1" t="s">
        <v>5</v>
      </c>
      <c r="B4" t="s">
        <v>19</v>
      </c>
      <c r="C4">
        <v>5</v>
      </c>
      <c r="D4" t="s">
        <v>20</v>
      </c>
      <c r="E4">
        <v>50</v>
      </c>
      <c r="F4" s="2">
        <f>C4*E4</f>
        <v>250</v>
      </c>
    </row>
    <row r="5" spans="1:6">
      <c r="A5" s="1" t="s">
        <v>9</v>
      </c>
      <c r="B5" t="s">
        <v>19</v>
      </c>
      <c r="C5">
        <v>5</v>
      </c>
      <c r="D5" t="s">
        <v>20</v>
      </c>
      <c r="E5">
        <v>50</v>
      </c>
      <c r="F5" s="2">
        <f>C5*E5</f>
        <v>250</v>
      </c>
    </row>
    <row r="6" spans="1:6">
      <c r="A6" s="1" t="s">
        <v>7</v>
      </c>
      <c r="B6" t="s">
        <v>21</v>
      </c>
      <c r="C6">
        <v>5</v>
      </c>
      <c r="D6" t="s">
        <v>20</v>
      </c>
      <c r="E6">
        <v>10</v>
      </c>
      <c r="F6" s="2">
        <f>C6*E6</f>
        <v>50</v>
      </c>
    </row>
    <row r="7" spans="1:6">
      <c r="A7" s="1" t="s">
        <v>7</v>
      </c>
      <c r="B7" t="s">
        <v>21</v>
      </c>
      <c r="C7">
        <v>5</v>
      </c>
      <c r="D7" t="s">
        <v>20</v>
      </c>
      <c r="E7">
        <v>10</v>
      </c>
      <c r="F7" s="2">
        <f>C7*E7</f>
        <v>50</v>
      </c>
    </row>
  </sheetData>
  <phoneticPr fontId="1" type="noConversion"/>
  <pageMargins left="0.7" right="0.7" top="0.75" bottom="0.75" header="0.3" footer="0.3"/>
  <ignoredErrors>
    <ignoredError sqref="A1:F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workbookViewId="0"/>
  </sheetViews>
  <sheetFormatPr baseColWidth="10" defaultRowHeight="15"/>
  <sheetData>
    <row r="1" spans="1:13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</row>
    <row r="2" spans="1:13">
      <c r="A2" s="1" t="s">
        <v>35</v>
      </c>
      <c r="B2" s="2">
        <f>SUMPRODUCT((TEXT(销售明细!$A$2:$A$10000,"YYYY-MM")=A2)*销售明细!$E$2:$E$10000)</f>
        <v>1720</v>
      </c>
      <c r="C2" s="2">
        <f>SUMPRODUCT((TEXT(采购明细!$A$2:$A$10000,"YYYY-MM")=A2)*采购明细!$F$2:$F$10000)</f>
        <v>1400</v>
      </c>
      <c r="D2" s="2">
        <f>B2-C2</f>
        <v>320</v>
      </c>
      <c r="E2" s="3">
        <f>D2/B2</f>
        <v>0.18604651162790697</v>
      </c>
      <c r="F2">
        <v>2500</v>
      </c>
      <c r="G2">
        <v>500</v>
      </c>
      <c r="H2">
        <v>10000</v>
      </c>
      <c r="I2">
        <v>0</v>
      </c>
      <c r="J2">
        <v>0</v>
      </c>
      <c r="K2" s="2">
        <f>F2+G2+H2+I2+J2</f>
        <v>13000</v>
      </c>
      <c r="L2" s="2">
        <f>D2-K2</f>
        <v>-12680</v>
      </c>
      <c r="M2" s="3">
        <f>L2/B2</f>
        <v>-7.3720930232558137</v>
      </c>
    </row>
  </sheetData>
  <phoneticPr fontId="1" type="noConversion"/>
  <pageMargins left="0.7" right="0.7" top="0.75" bottom="0.75" header="0.3" footer="0.3"/>
  <ignoredErrors>
    <ignoredError sqref="A1:M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销售明细</vt:lpstr>
      <vt:lpstr>采购明细</vt:lpstr>
      <vt:lpstr>月度利润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Z11109</cp:lastModifiedBy>
  <dcterms:modified xsi:type="dcterms:W3CDTF">2026-01-31T07:31:41Z</dcterms:modified>
</cp:coreProperties>
</file>